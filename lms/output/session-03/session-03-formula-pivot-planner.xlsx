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fbef90676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918558f397b4863"/>
    <x:sheet xmlns:r="http://schemas.openxmlformats.org/officeDocument/2006/relationships" name="Analysis" sheetId="2" r:id="Rd3071c5823ec472b"/>
    <x:sheet xmlns:r="http://schemas.openxmlformats.org/officeDocument/2006/relationships" name="Pivot Plan" sheetId="3" r:id="R916ee345ca524e3e"/>
    <x:sheet xmlns:r="http://schemas.openxmlformats.org/officeDocument/2006/relationships" name="startups" sheetId="4" r:id="Rf35cefdadeac4fb1"/>
    <x:sheet xmlns:r="http://schemas.openxmlformats.org/officeDocument/2006/relationships" name="Schema" sheetId="5" r:id="R7cdefa63d2b6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1A14"/>
      <x:name val="Geist"/>
    </x:font>
    <x:font>
      <x:b/>
      <x:sz val="18"/>
      <x:color rgb="FFFFFFFF"/>
      <x:name val="Fraunces"/>
    </x:font>
    <x:font>
      <x:i/>
      <x:sz val="11"/>
      <x:color rgb="FF1E3A35"/>
      <x:name val="Geist"/>
    </x:font>
    <x:font>
      <x:b/>
      <x:sz val="11"/>
      <x:color rgb="FF1F1A14"/>
      <x:name val="Geist"/>
    </x:font>
    <x:font>
      <x:b/>
      <x:sz val="10"/>
      <x:color rgb="FF1E3A35"/>
      <x:name val="Geist"/>
    </x:font>
    <x:font>
      <x:b/>
      <x:sz val="10"/>
      <x:color rgb="FFC4581A"/>
      <x:name val="Geist Mono"/>
    </x:font>
    <x:font>
      <x:b/>
      <x:sz val="10"/>
      <x:color rgb="FFFFFFFF"/>
      <x:name val="Geist"/>
    </x:font>
    <x:font>
      <x:sz val="10"/>
      <x:color rgb="FF1F1A14"/>
      <x:name val="Geist Mono"/>
    </x:font>
    <x:font>
      <x:sz val="9"/>
      <x:color rgb="FF1F1A14"/>
      <x:name val="Geist Mono"/>
    </x:font>
    <x:font>
      <x:b/>
      <x:sz val="10"/>
      <x:color rgb="FF1E3A35"/>
      <x:name val="Geist Mono"/>
    </x:font>
  </x:fonts>
  <x:fills count="7">
    <x:fill>
      <x:patternFill patternType="none"/>
    </x:fill>
    <x:fill>
      <x:patternFill patternType="gray125"/>
    </x:fill>
    <x:fill>
      <x:patternFill patternType="solid">
        <x:fgColor rgb="FFFBF8F3"/>
      </x:patternFill>
    </x:fill>
    <x:fill>
      <x:patternFill patternType="solid">
        <x:fgColor rgb="FF1E3A35"/>
      </x:patternFill>
    </x:fill>
    <x:fill>
      <x:patternFill patternType="solid">
        <x:fgColor rgb="FFE4ECE9"/>
      </x:patternFill>
    </x:fill>
    <x:fill>
      <x:patternFill patternType="solid">
        <x:fgColor rgb="FFEDE5D8"/>
      </x:patternFill>
    </x:fill>
    <x:fill>
      <x:patternFill patternType="solid">
        <x:fgColor rgb="FFF8E6D8"/>
      </x:patternFill>
    </x:fill>
  </x:fills>
  <x:borders count="8">
    <x:border/>
    <x:border>
      <x:left style="thin">
        <x:color rgb="FFC4581A"/>
      </x:left>
      <x:top style="thin">
        <x:color rgb="FFC4581A"/>
      </x:top>
      <x:bottom style="thin">
        <x:color rgb="FFC4581A"/>
      </x:bottom>
    </x:border>
    <x:border>
      <x:right style="thin">
        <x:color rgb="FFC4581A"/>
      </x:right>
      <x:top style="thin">
        <x:color rgb="FFC4581A"/>
      </x:top>
      <x:bottom style="thin">
        <x:color rgb="FFC4581A"/>
      </x:bottom>
    </x:border>
    <x:border>
      <x:bottom style="medium">
        <x:color rgb="FFC4581A"/>
      </x:bottom>
    </x:border>
    <x:border>
      <x:left style="thin">
        <x:color rgb="FFC4581A"/>
      </x:left>
      <x:right style="thin">
        <x:color rgb="FFC4581A"/>
      </x:right>
      <x:top style="thin">
        <x:color rgb="FFC4581A"/>
      </x:top>
    </x:border>
    <x:border>
      <x:left style="thin">
        <x:color rgb="FFC4581A"/>
      </x:left>
      <x:right style="thin">
        <x:color rgb="FFC4581A"/>
      </x:right>
    </x:border>
    <x:border>
      <x:left style="thin">
        <x:color rgb="FFC4581A"/>
      </x:left>
      <x:right style="thin">
        <x:color rgb="FFC4581A"/>
      </x:right>
      <x:bottom style="thin">
        <x:color rgb="FFC4581A"/>
      </x:bottom>
    </x:border>
    <x:border>
      <x:bottom style="thin">
        <x:color rgb="FFEDE5D8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0"/>
    </x:xf>
    <x:xf numFmtId="0" fontId="2" fillId="3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4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1" fillId="6" borderId="7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749e138914b2f" /><Relationship Type="http://schemas.openxmlformats.org/officeDocument/2006/relationships/theme" Target="/xl/theme/theme1.xml" Id="R3cdf44f4df7046fb" /><Relationship Type="http://schemas.openxmlformats.org/officeDocument/2006/relationships/sharedStrings" Target="/xl/sharedStrings.xml" Id="Re38e215f6d654e01" /><Relationship Type="http://schemas.openxmlformats.org/officeDocument/2006/relationships/worksheet" Target="/xl/worksheets/sheet1.xml" Id="R7918558f397b4863" /><Relationship Type="http://schemas.openxmlformats.org/officeDocument/2006/relationships/worksheet" Target="/xl/worksheets/sheet2.xml" Id="Rd3071c5823ec472b" /><Relationship Type="http://schemas.openxmlformats.org/officeDocument/2006/relationships/worksheet" Target="/xl/worksheets/sheet3.xml" Id="R916ee345ca524e3e" /><Relationship Type="http://schemas.openxmlformats.org/officeDocument/2006/relationships/worksheet" Target="/xl/worksheets/sheet4.xml" Id="Rf35cefdadeac4fb1" /><Relationship Type="http://schemas.openxmlformats.org/officeDocument/2006/relationships/worksheet" Target="/xl/worksheets/sheet5.xml" Id="R7cdefa63d2b641d6" /></Relationships>
</file>

<file path=xl/tables/table1.xml><?xml version="1.0" encoding="utf-8"?>
<x:table xmlns:x="http://schemas.openxmlformats.org/spreadsheetml/2006/main" id="1" name="S3StartupsHeadersTable" displayName="S3StartupsHeadersTable" ref="A1:AC2" headerRowCount="1" totalsRowCount="0" totalsRowShown="0">
  <x:autoFilter ref="A1:AC2"/>
  <x:tableColumns count="29">
    <x:tableColumn id="1" name="record_id"/>
    <x:tableColumn id="2" name="source_row_number"/>
    <x:tableColumn id="3" name="startup_name"/>
    <x:tableColumn id="4" name="startup_slug"/>
    <x:tableColumn id="5" name="trustmrr_url"/>
    <x:tableColumn id="6" name="website"/>
    <x:tableColumn id="7" name="country"/>
    <x:tableColumn id="8" name="payment_provider"/>
    <x:tableColumn id="9" name="revenue_30d_usd"/>
    <x:tableColumn id="10" name="revenue_12m_usd"/>
    <x:tableColumn id="11" name="revenue_all_time_usd"/>
    <x:tableColumn id="12" name="revenue_growth_30d_pct"/>
    <x:tableColumn id="13" name="mrr_usd"/>
    <x:tableColumn id="14" name="mrr_growth_30d_pct"/>
    <x:tableColumn id="15" name="active_subscriptions"/>
    <x:tableColumn id="16" name="visitors_30d"/>
    <x:tableColumn id="17" name="revenue_per_visitor_usd"/>
    <x:tableColumn id="18" name="value_proposition"/>
    <x:tableColumn id="19" name="problem_solved"/>
    <x:tableColumn id="20" name="pricing_model"/>
    <x:tableColumn id="21" name="target_persona"/>
    <x:tableColumn id="22" name="audience_type"/>
    <x:tableColumn id="23" name="category"/>
    <x:tableColumn id="24" name="markets_json"/>
    <x:tableColumn id="25" name="tech_frontend_json"/>
    <x:tableColumn id="26" name="tech_backend_json"/>
    <x:tableColumn id="27" name="domain_rating"/>
    <x:tableColumn id="28" name="on_sale"/>
    <x:tableColumn id="29" name="asking_price_u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3LearnerSchemaTable" displayName="S3LearnerSchemaTable" ref="A3:E32" headerRowCount="1" totalsRowCount="0" totalsRowShown="0">
  <x:tableColumns count="5">
    <x:tableColumn id="1" name="Field"/>
    <x:tableColumn id="2" name="Logical type"/>
    <x:tableColumn id="3" name="Nullable"/>
    <x:tableColumn id="4" name="Unit"/>
    <x:tableColumn id="5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622ebb11f5547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8192ca5d9f448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73.33000183105469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</x:cols>
  <x:sheetData>
    <x:row r="1" ht="27" customHeight="1">
      <x:c r="A1" s="8" t="str">
        <x:v>Session 3 planner</x:v>
      </x:c>
      <x:c r="B1" s="8" t="str"/>
      <x:c r="C1" s="8" t="str"/>
      <x:c r="D1" s="8" t="str"/>
      <x:c r="E1" s="8" t="str"/>
      <x:c r="F1" s="8" t="str"/>
      <x:c r="G1" s="8" t="str"/>
      <x:c r="H1" s="8" t="str"/>
    </x:row>
    <x:row r="2">
      <x:c r="A2" s="10" t="str">
        <x:v>Answer-free formula and pivot planning workbook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3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16" t="str">
        <x:v>Purpose</x:v>
      </x:c>
      <x:c r="B4" s="4" t="str">
        <x:v>Plan and audit a bounded spreadsheet method without embedding source rows or expected answers.</x:v>
      </x:c>
      <x:c r="C4" s="4"/>
      <x:c r="D4" s="4"/>
      <x:c r="E4" s="4"/>
      <x:c r="F4" s="4"/>
      <x:c r="G4" s="4"/>
      <x:c r="H4" s="4"/>
    </x:row>
    <x:row r="5" ht="24" customHeight="1">
      <x:c r="A5" s="16" t="str">
        <x:v>Dataset version</x:v>
      </x:c>
      <x:c r="B5" s="4" t="str">
        <x:v>trustmrr-s3-v1</x:v>
      </x:c>
      <x:c r="C5" s="4"/>
      <x:c r="D5" s="4"/>
      <x:c r="E5" s="4"/>
      <x:c r="F5" s="4"/>
      <x:c r="G5" s="4"/>
      <x:c r="H5" s="4"/>
    </x:row>
    <x:row r="6" ht="24" customHeight="1">
      <x:c r="A6" s="16" t="str">
        <x:v>Source binding</x:v>
      </x:c>
      <x:c r="B6" s="4" t="str">
        <x:v>Before analysis, copy the active version and SHA-256 from the LMS material card. Never record a private storage path.</x:v>
      </x:c>
      <x:c r="C6" s="4"/>
      <x:c r="D6" s="4"/>
      <x:c r="E6" s="4"/>
      <x:c r="F6" s="4"/>
      <x:c r="G6" s="4"/>
      <x:c r="H6" s="4"/>
    </x:row>
    <x:row r="7" ht="24" customHeight="1">
      <x:c r="A7" s="16" t="str">
        <x:v>Grain</x:v>
      </x:c>
      <x:c r="B7" s="4" t="str">
        <x:v>One row in startups = one startup snapshot; record_id anchors populated rows.</x:v>
      </x:c>
      <x:c r="C7" s="4"/>
      <x:c r="D7" s="4"/>
      <x:c r="E7" s="4"/>
      <x:c r="F7" s="4"/>
      <x:c r="G7" s="4"/>
      <x:c r="H7" s="4"/>
    </x:row>
    <x:row r="8" ht="24" customHeight="1">
      <x:c r="A8" s="16" t="str">
        <x:v>Null rule</x:v>
      </x:c>
      <x:c r="B8" s="4" t="str">
        <x:v>Blank means unavailable/not supplied. It is never interchangeable with observed zero.</x:v>
      </x:c>
      <x:c r="C8" s="4"/>
      <x:c r="D8" s="4"/>
      <x:c r="E8" s="4"/>
      <x:c r="F8" s="4"/>
      <x:c r="G8" s="4"/>
      <x:c r="H8" s="4"/>
    </x:row>
    <x:row r="9" ht="24" customHeight="1">
      <x:c r="A9" s="16" t="str">
        <x:v>Privacy</x:v>
      </x:c>
      <x:c r="B9" s="4" t="str">
        <x:v>Keep this workbook roster-gated. Do not publish rows, derived values, screenshots, or saved private outputs.</x:v>
      </x:c>
      <x:c r="C9" s="4"/>
      <x:c r="D9" s="4"/>
      <x:c r="E9" s="4"/>
      <x:c r="F9" s="4"/>
      <x:c r="G9" s="4"/>
      <x:c r="H9" s="4"/>
    </x:row>
    <x:row r="10" ht="24" customHeight="1">
      <x:c r="A10" s="4"/>
      <x:c r="B10" s="4"/>
      <x:c r="C10" s="4"/>
      <x:c r="D10" s="4"/>
      <x:c r="E10" s="4"/>
      <x:c r="F10" s="4"/>
      <x:c r="G10" s="4"/>
      <x:c r="H10" s="4"/>
    </x:row>
    <x:row r="11" ht="24" customHeight="1">
      <x:c r="A11" s="14" t="str">
        <x:v>Use order</x:v>
      </x:c>
      <x:c r="B11" s="15" t="str">
        <x:v>Action</x:v>
      </x:c>
      <x:c r="C11" s="4"/>
      <x:c r="D11" s="4"/>
      <x:c r="E11" s="4"/>
      <x:c r="F11" s="4"/>
      <x:c r="G11" s="4"/>
      <x:c r="H11" s="4"/>
    </x:row>
    <x:row r="12" ht="24" customHeight="1">
      <x:c r="A12" s="17" t="str">
        <x:v>1</x:v>
      </x:c>
      <x:c r="B12" s="4" t="str">
        <x:v>Import the authorised learner CSV into startups without changing the 29 headers.</x:v>
      </x:c>
      <x:c r="C12" s="4"/>
      <x:c r="D12" s="4"/>
      <x:c r="E12" s="4"/>
      <x:c r="F12" s="4"/>
      <x:c r="G12" s="4"/>
      <x:c r="H12" s="4"/>
    </x:row>
    <x:row r="13" ht="24" customHeight="1">
      <x:c r="A13" s="17" t="str">
        <x:v>2</x:v>
      </x:c>
      <x:c r="B13" s="4" t="str">
        <x:v>Complete version/checksum fields and write your own formulas in the Ochre TODO cells on Analysis.</x:v>
      </x:c>
      <x:c r="C13" s="4"/>
      <x:c r="D13" s="4"/>
      <x:c r="E13" s="4"/>
      <x:c r="F13" s="4"/>
      <x:c r="G13" s="4"/>
      <x:c r="H13" s="4"/>
    </x:row>
    <x:row r="14" ht="24" customHeight="1">
      <x:c r="A14" s="17" t="str">
        <x:v>3</x:v>
      </x:c>
      <x:c r="B14" s="4" t="str">
        <x:v>Use Pivot Plan to specify rows, values, filters, sort, and excluded count before building a pivot.</x:v>
      </x:c>
      <x:c r="C14" s="4"/>
      <x:c r="D14" s="4"/>
      <x:c r="E14" s="4"/>
      <x:c r="F14" s="4"/>
      <x:c r="G14" s="4"/>
      <x:c r="H14" s="4"/>
    </x:row>
    <x:row r="15" ht="24" customHeight="1">
      <x:c r="A15" s="17" t="str">
        <x:v>4</x:v>
      </x:c>
      <x:c r="B15" s="4" t="str">
        <x:v>Run the independent check and record the absolute gap; two prompts to the same model are not independent.</x:v>
      </x:c>
      <x:c r="C15" s="4"/>
      <x:c r="D15" s="4"/>
      <x:c r="E15" s="4"/>
      <x:c r="F15" s="4"/>
      <x:c r="G15" s="4"/>
      <x:c r="H15" s="4"/>
    </x:row>
    <x:row r="16" ht="24" customHeight="1">
      <x:c r="A16" s="17" t="str">
        <x:v>5</x:v>
      </x:c>
      <x:c r="B16" s="4" t="str">
        <x:v>Submit only the compact aggregate and verification trace. Keep the source file private.</x:v>
      </x:c>
      <x:c r="C16" s="4"/>
      <x:c r="D16" s="4"/>
      <x:c r="E16" s="4"/>
      <x:c r="F16" s="4"/>
      <x:c r="G16" s="4"/>
      <x:c r="H16" s="4"/>
    </x:row>
    <x:row r="17" ht="24" customHeight="1">
      <x:c r="A17" s="4"/>
      <x:c r="B17" s="4"/>
      <x:c r="C17" s="4"/>
      <x:c r="D17" s="4"/>
      <x:c r="E17" s="4"/>
      <x:c r="F17" s="4"/>
      <x:c r="G17" s="4"/>
      <x:c r="H17" s="4"/>
    </x:row>
    <x:row r="18" ht="24" customHeight="1">
      <x:c r="A18" s="14" t="str">
        <x:v>Visual key</x:v>
      </x:c>
      <x:c r="B18" s="15" t="str">
        <x:v>Meaning</x:v>
      </x:c>
      <x:c r="C18" s="4"/>
      <x:c r="D18" s="4"/>
      <x:c r="E18" s="4"/>
      <x:c r="F18" s="4"/>
      <x:c r="G18" s="4"/>
      <x:c r="H18" s="4"/>
    </x:row>
    <x:row r="19" ht="24" customHeight="1">
      <x:c r="A19" s="16" t="str">
        <x:v>Pine</x:v>
      </x:c>
      <x:c r="B19" s="4" t="str">
        <x:v>Headings and fixed schema</x:v>
      </x:c>
      <x:c r="C19" s="4"/>
      <x:c r="D19" s="4"/>
      <x:c r="E19" s="4"/>
      <x:c r="F19" s="4"/>
      <x:c r="G19" s="4"/>
      <x:c r="H19" s="4"/>
    </x:row>
    <x:row r="20" ht="24" customHeight="1">
      <x:c r="A20" s="16" t="str">
        <x:v>Ochre</x:v>
      </x:c>
      <x:c r="B20" s="4" t="str">
        <x:v>Learner-editable TODO cells; text labels repeat the meaning, so colour is never the only cue</x:v>
      </x:c>
      <x:c r="C20" s="4"/>
      <x:c r="D20" s="4"/>
      <x:c r="E20" s="4"/>
      <x:c r="F20" s="4"/>
      <x:c r="G20" s="4"/>
      <x:c r="H20" s="4"/>
    </x:row>
    <x:row r="21" ht="24" customHeight="1">
      <x:c r="A21" s="16" t="str">
        <x:v>Sand</x:v>
      </x:c>
      <x:c r="B21" s="4" t="str">
        <x:v>Method notes and checkpoints</x:v>
      </x:c>
      <x:c r="C21" s="4"/>
      <x:c r="D21" s="4"/>
      <x:c r="E21" s="4"/>
      <x:c r="F21" s="4"/>
      <x:c r="G21" s="4"/>
      <x:c r="H21" s="4"/>
    </x:row>
    <x:row r="22" ht="24" customHeight="1">
      <x:c r="A22" s="16" t="str">
        <x:v>Parchment</x:v>
      </x:c>
      <x:c r="B22" s="4" t="str">
        <x:v>Read-only guidance and safe empty workspace</x:v>
      </x:c>
      <x:c r="C22" s="4"/>
      <x:c r="D22" s="4"/>
      <x:c r="E22" s="4"/>
      <x:c r="F22" s="4"/>
      <x:c r="G22" s="4"/>
      <x:c r="H22" s="4"/>
    </x:row>
    <x:row r="23" ht="24" customHeight="1">
      <x:c r="A23" s="4"/>
      <x:c r="B23" s="4"/>
      <x:c r="C23" s="4"/>
      <x:c r="D23" s="4"/>
      <x:c r="E23" s="4"/>
      <x:c r="F23" s="4"/>
      <x:c r="G23" s="4"/>
      <x:c r="H23" s="4"/>
    </x:row>
    <x:row r="24" ht="24" customHeight="1">
      <x:c r="A24" s="14" t="str">
        <x:v>Source ID</x:v>
      </x:c>
      <x:c r="B24" s="15" t="str">
        <x:v>Version / learner label</x:v>
      </x:c>
      <x:c r="C24" s="4"/>
      <x:c r="D24" s="4"/>
      <x:c r="E24" s="4"/>
      <x:c r="F24" s="4"/>
      <x:c r="G24" s="4"/>
      <x:c r="H24" s="4"/>
    </x:row>
    <x:row r="25" ht="24" customHeight="1">
      <x:c r="A25" s="4" t="str">
        <x:v>private-safe.trustmrr-s3-schema</x:v>
      </x:c>
      <x:c r="B25" s="4" t="str">
        <x:v>trustmrr-s3-v1 · machine-readable learner schema</x:v>
      </x:c>
      <x:c r="C25" s="4"/>
      <x:c r="D25" s="4"/>
      <x:c r="E25" s="4"/>
      <x:c r="F25" s="4"/>
      <x:c r="G25" s="4"/>
      <x:c r="H25" s="4"/>
    </x:row>
    <x:row r="26" ht="24" customHeight="1">
      <x:c r="A26" s="4" t="str">
        <x:v>session-03.data-dictionary</x:v>
      </x:c>
      <x:c r="B26" s="4" t="str">
        <x:v>Session 3 learner data dictionary</x:v>
      </x:c>
      <x:c r="C26" s="4"/>
      <x:c r="D26" s="4"/>
      <x:c r="E26" s="4"/>
      <x:c r="F26" s="4"/>
      <x:c r="G26" s="4"/>
      <x:c r="H26" s="4"/>
    </x:row>
    <x:row r="27" ht="24" customHeight="1">
      <x:c r="A27" s="4" t="str">
        <x:v>session-03.spreadsheet-pathway</x:v>
      </x:c>
      <x:c r="B27" s="4" t="str">
        <x:v>Session 3 spreadsheet pathway</x:v>
      </x:c>
      <x:c r="C27" s="4"/>
      <x:c r="D27" s="4"/>
      <x:c r="E27" s="4"/>
      <x:c r="F27" s="4"/>
      <x:c r="G27" s="4"/>
      <x:c r="H27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7.219999313354492" hidden="0" customWidth="1"/>
    <x:col min="3" max="3" width="17.219999313354492" hidden="0" customWidth="1"/>
    <x:col min="4" max="4" width="18.329999923706055" hidden="0" customWidth="1"/>
    <x:col min="5" max="5" width="55.560001373291016" hidden="0" customWidth="1"/>
    <x:col min="6" max="6" width="24.440000534057617" hidden="0" customWidth="1"/>
    <x:col min="7" max="7" width="24.440000534057617" hidden="0" customWidth="1"/>
    <x:col min="8" max="8" width="2.6700000762939453" hidden="0" customWidth="1"/>
    <x:col min="9" max="9" width="21.110000610351562" hidden="0" customWidth="1"/>
    <x:col min="10" max="10" width="33.33000183105469" hidden="0" customWidth="1"/>
  </x:cols>
  <x:sheetData>
    <x:row r="1" ht="27" customHeight="1">
      <x:c r="A1" s="8" t="str">
        <x:v>Analysis plan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4.5" customHeight="1">
      <x:c r="A3" s="20" t="str">
        <x:v>Metric / output</x:v>
      </x:c>
      <x:c r="B3" s="20" t="str">
        <x:v>Your formula</x:v>
      </x:c>
      <x:c r="C3" s="20" t="str">
        <x:v>Result / note</x:v>
      </x:c>
      <x:c r="D3" s="20" t="str">
        <x:v>Unit / rounding</x:v>
      </x:c>
      <x:c r="E3" s="20" t="str">
        <x:v>Formula pattern · text only</x:v>
      </x:c>
      <x:c r="F3" s="20" t="str">
        <x:v>Independent check</x:v>
      </x:c>
      <x:c r="G3" s="20" t="str">
        <x:v>Status</x:v>
      </x:c>
      <x:c r="H3" s="4"/>
      <x:c r="I3" s="20" t="str">
        <x:v>Verification trace</x:v>
      </x:c>
      <x:c r="J3" s="20" t="str">
        <x:v>Learner entry</x:v>
      </x:c>
    </x:row>
    <x:row r="4" ht="54" customHeight="1">
      <x:c r="A4" s="4" t="str">
        <x:v>record_count</x:v>
      </x:c>
      <x:c r="B4" s="23" t="str"/>
      <x:c r="C4" s="21" t="str"/>
      <x:c r="D4" s="4" t="str">
        <x:v>records · integer</x:v>
      </x:c>
      <x:c r="E4" s="29" t="str">
        <x:v>=COUNTA('startups'!A2:A2001)</x:v>
      </x:c>
      <x:c r="F4" s="4" t="str">
        <x:v>Distinct record_id count or pivot COUNTA</x:v>
      </x:c>
      <x:c r="G4" s="30" t="str">
        <x:f>IF(B4="","TODO","REVIEW")</x:f>
        <x:v>TODO</x:v>
      </x:c>
      <x:c r="H4" s="4"/>
      <x:c r="I4" s="4" t="str">
        <x:v>Dataset version ID</x:v>
      </x:c>
      <x:c r="J4" s="26" t="str">
        <x:v>TODO</x:v>
      </x:c>
    </x:row>
    <x:row r="5" ht="54" customHeight="1">
      <x:c r="A5" s="4" t="str">
        <x:v>missing_country_count</x:v>
      </x:c>
      <x:c r="B5" s="24" t="str"/>
      <x:c r="C5" s="21" t="str"/>
      <x:c r="D5" s="4" t="str">
        <x:v>records · integer</x:v>
      </x:c>
      <x:c r="E5" s="29" t="str">
        <x:v>=SUMPRODUCT(--('startups'!A2:A2001&lt;&gt;""),--(LEN(TRIM('startups'!G2:G2001))=0))</x:v>
      </x:c>
      <x:c r="F5" s="4" t="str">
        <x:v>Filter populated IDs, then count blank/whitespace country</x:v>
      </x:c>
      <x:c r="G5" s="30" t="str">
        <x:f>IF(B5="","TODO","REVIEW")</x:f>
        <x:v>TODO</x:v>
      </x:c>
      <x:c r="H5" s="4"/>
      <x:c r="I5" s="4" t="str">
        <x:v>Checksum status</x:v>
      </x:c>
      <x:c r="J5" s="27" t="str">
        <x:v>TODO: MATCH / STOP</x:v>
      </x:c>
    </x:row>
    <x:row r="6" ht="54" customHeight="1">
      <x:c r="A6" s="4" t="str">
        <x:v>missing_country_pct</x:v>
      </x:c>
      <x:c r="B6" s="24" t="str"/>
      <x:c r="C6" s="21" t="str"/>
      <x:c r="D6" s="4" t="str">
        <x:v>percentage · 1 decimal</x:v>
      </x:c>
      <x:c r="E6" s="29" t="str">
        <x:v>=ROUND(100*[missing_country_count]/[record_count],1)</x:v>
      </x:c>
      <x:c r="F6" s="4" t="str">
        <x:v>Recompute numerator ÷ denominator</x:v>
      </x:c>
      <x:c r="G6" s="30" t="str">
        <x:f>IF(B6="","TODO","REVIEW")</x:f>
        <x:v>TODO</x:v>
      </x:c>
      <x:c r="H6" s="4"/>
      <x:c r="I6" s="4" t="str">
        <x:v>Verified item</x:v>
      </x:c>
      <x:c r="J6" s="27" t="str">
        <x:v>TODO</x:v>
      </x:c>
    </x:row>
    <x:row r="7" ht="54" customHeight="1">
      <x:c r="A7" s="4" t="str">
        <x:v>median_mrr_usd</x:v>
      </x:c>
      <x:c r="B7" s="24" t="str"/>
      <x:c r="C7" s="21" t="str"/>
      <x:c r="D7" s="4" t="str">
        <x:v>USD · nearest whole at display</x:v>
      </x:c>
      <x:c r="E7" s="29" t="str">
        <x:v>=MEDIAN(FILTER('startups'!M2:M2001,'startups'!A2:A2001&lt;&gt;"",ISNUMBER('startups'!M2:M2001)))</x:v>
      </x:c>
      <x:c r="F7" s="4" t="str">
        <x:v>Sorted numeric series; preserve legitimate zeros</x:v>
      </x:c>
      <x:c r="G7" s="30" t="str">
        <x:f>IF(B7="","TODO","REVIEW")</x:f>
        <x:v>TODO</x:v>
      </x:c>
      <x:c r="H7" s="4"/>
      <x:c r="I7" s="4" t="str">
        <x:v>Method A + working</x:v>
      </x:c>
      <x:c r="J7" s="27" t="str">
        <x:v>TODO</x:v>
      </x:c>
    </x:row>
    <x:row r="8" ht="54" customHeight="1">
      <x:c r="A8" s="4" t="str">
        <x:v>category_total_mrr</x:v>
      </x:c>
      <x:c r="B8" s="24" t="str"/>
      <x:c r="C8" s="21" t="str"/>
      <x:c r="D8" s="4" t="str">
        <x:v>label + USD · nearest whole</x:v>
      </x:c>
      <x:c r="E8" s="29" t="str">
        <x:v>=QUERY('startups'!A1:AC2001,"select W, sum(M) where A is not null and W is not null group by W order by sum(M) desc",1)</x:v>
      </x:c>
      <x:c r="F8" s="4" t="str">
        <x:v>Pivot: category rows, mrr_usd SUM</x:v>
      </x:c>
      <x:c r="G8" s="30" t="str">
        <x:f>IF(B8="","TODO","REVIEW")</x:f>
        <x:v>TODO</x:v>
      </x:c>
      <x:c r="H8" s="4"/>
      <x:c r="I8" s="4" t="str">
        <x:v>Result A + unit</x:v>
      </x:c>
      <x:c r="J8" s="27" t="str">
        <x:v>TODO</x:v>
      </x:c>
    </x:row>
    <x:row r="9" ht="54" customHeight="1">
      <x:c r="A9" s="4" t="str">
        <x:v>onsale_median_asking_price_usd</x:v>
      </x:c>
      <x:c r="B9" s="25" t="str"/>
      <x:c r="C9" s="21" t="str"/>
      <x:c r="D9" s="4" t="str">
        <x:v>USD · nearest whole</x:v>
      </x:c>
      <x:c r="E9" s="29" t="str">
        <x:v>=MEDIAN(FILTER('startups'!AC2:AC2001,LOWER('startups'!AB2:AB2001)="true",ISNUMBER('startups'!AC2:AC2001)))</x:v>
      </x:c>
      <x:c r="F9" s="4" t="str">
        <x:v>Filter on_sale true + numeric price, then median</x:v>
      </x:c>
      <x:c r="G9" s="30" t="str">
        <x:f>IF(B9="","TODO","REVIEW")</x:f>
        <x:v>TODO</x:v>
      </x:c>
      <x:c r="H9" s="4"/>
      <x:c r="I9" s="4" t="str">
        <x:v>Method B + working</x:v>
      </x:c>
      <x:c r="J9" s="27" t="str">
        <x:v>TODO</x:v>
      </x:c>
    </x:row>
    <x:row r="10" ht="34.5" customHeight="1">
      <x:c r="A10" s="4"/>
      <x:c r="B10" s="4"/>
      <x:c r="C10" s="4"/>
      <x:c r="D10" s="4"/>
      <x:c r="E10" s="4"/>
      <x:c r="F10" s="4"/>
      <x:c r="G10" s="4"/>
      <x:c r="H10" s="4"/>
      <x:c r="I10" s="4" t="str">
        <x:v>Result B + unit</x:v>
      </x:c>
      <x:c r="J10" s="27" t="str">
        <x:v>TODO</x:v>
      </x:c>
    </x:row>
    <x:row r="11" ht="34.5" customHeight="1">
      <x:c r="A11" s="20" t="str">
        <x:v>Category output scaffold</x:v>
      </x:c>
      <x:c r="B11" s="20" t="str">
        <x:v>total_mrr_usd</x:v>
      </x:c>
      <x:c r="C11" s="4"/>
      <x:c r="D11" s="4"/>
      <x:c r="E11" s="20" t="str">
        <x:v>Hygiene check</x:v>
      </x:c>
      <x:c r="F11" s="20" t="str">
        <x:v>Live status</x:v>
      </x:c>
      <x:c r="G11" s="20" t="str">
        <x:v>Required action</x:v>
      </x:c>
      <x:c r="H11" s="4"/>
      <x:c r="I11" s="4" t="str">
        <x:v>Absolute gap + explanation</x:v>
      </x:c>
      <x:c r="J11" s="28" t="str">
        <x:v>TODO</x:v>
      </x:c>
    </x:row>
    <x:row r="12" ht="34.5" customHeight="1">
      <x:c r="A12" s="4" t="str">
        <x:v>TODO: formula spill / paste pivot output</x:v>
      </x:c>
      <x:c r="B12" s="4" t="str"/>
      <x:c r="C12" s="4"/>
      <x:c r="D12" s="4"/>
      <x:c r="E12" s="4" t="str">
        <x:v>Populated record_id rows</x:v>
      </x:c>
      <x:c r="F12" s="4" t="str">
        <x:f>IF(COUNTIF('startups'!A2:A2001,"?*")=0,"WAITING FOR DATA",COUNTIF('startups'!A2:A2001,"?*"))</x:f>
        <x:v>WAITING FOR DATA</x:v>
      </x:c>
      <x:c r="G12" s="4" t="str">
        <x:v>Bind the denominator before interpreting any result</x:v>
      </x:c>
      <x:c r="H12" s="4"/>
      <x:c r="I12" s="4"/>
      <x:c r="J12" s="4"/>
    </x:row>
    <x:row r="13" ht="34.5" customHeight="1">
      <x:c r="A13" s="4" t="str"/>
      <x:c r="B13" s="4" t="str"/>
      <x:c r="C13" s="4"/>
      <x:c r="D13" s="4"/>
      <x:c r="E13" s="4" t="str">
        <x:v>Numeric MRR cells</x:v>
      </x:c>
      <x:c r="F13" s="4" t="str">
        <x:f>IF(COUNTIF('startups'!A2:A2001,"?*")=0,"WAITING FOR DATA",COUNT('startups'!M2:M2001))</x:f>
        <x:v>WAITING FOR DATA</x:v>
      </x:c>
      <x:c r="G13" s="4" t="str">
        <x:v>Investigate any gap; do not silently coerce</x:v>
      </x:c>
      <x:c r="H13" s="4"/>
      <x:c r="I13" s="4"/>
      <x:c r="J13" s="4"/>
    </x:row>
    <x:row r="14" ht="34.5" customHeight="1">
      <x:c r="A14" s="4" t="str"/>
      <x:c r="B14" s="4" t="str"/>
      <x:c r="C14" s="4"/>
      <x:c r="D14" s="4"/>
      <x:c r="E14" s="4" t="str">
        <x:v>Source binding</x:v>
      </x:c>
      <x:c r="F14" s="4" t="str">
        <x:v>TODO</x:v>
      </x:c>
      <x:c r="G14" s="4" t="str">
        <x:v>Record active version and checksum status in the trace</x:v>
      </x:c>
      <x:c r="H14" s="4"/>
      <x:c r="I14" s="4"/>
      <x:c r="J14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30" hidden="0" customWidth="1"/>
    <x:col min="3" max="3" width="18.889999389648438" hidden="0" customWidth="1"/>
    <x:col min="4" max="4" width="19.440000534057617" hidden="0" customWidth="1"/>
    <x:col min="5" max="5" width="26.110000610351562" hidden="0" customWidth="1"/>
    <x:col min="6" max="6" width="33.33000183105469" hidden="0" customWidth="1"/>
    <x:col min="7" max="7" width="25.559999465942383" hidden="0" customWidth="1"/>
    <x:col min="8" max="8" width="33.33000183105469" hidden="0" customWidth="1"/>
  </x:cols>
  <x:sheetData>
    <x:row r="1" ht="27" customHeight="1">
      <x:c r="A1" s="8" t="str">
        <x:v>Pivot plan</x:v>
      </x:c>
      <x:c r="B1" s="8" t="str"/>
      <x:c r="C1" s="8" t="str"/>
      <x:c r="D1" s="8" t="str"/>
      <x:c r="E1" s="8" t="str"/>
      <x:c r="F1" s="8" t="str"/>
      <x:c r="G1" s="8" t="str"/>
      <x:c r="H1" s="8" t="str"/>
    </x:row>
    <x:row r="2">
      <x:c r="A2" s="4"/>
      <x:c r="B2" s="4"/>
      <x:c r="C2" s="4"/>
      <x:c r="D2" s="4"/>
      <x:c r="E2" s="4"/>
      <x:c r="F2" s="4"/>
      <x:c r="G2" s="4"/>
      <x:c r="H2" s="4"/>
    </x:row>
    <x:row r="3" ht="39" customHeight="1">
      <x:c r="A3" s="20" t="str">
        <x:v>Plan ID</x:v>
      </x:c>
      <x:c r="B3" s="20" t="str">
        <x:v>Analytical job</x:v>
      </x:c>
      <x:c r="C3" s="20" t="str">
        <x:v>Source range</x:v>
      </x:c>
      <x:c r="D3" s="20" t="str">
        <x:v>Rows</x:v>
      </x:c>
      <x:c r="E3" s="20" t="str">
        <x:v>Values</x:v>
      </x:c>
      <x:c r="F3" s="20" t="str">
        <x:v>Filters / exclusions</x:v>
      </x:c>
      <x:c r="G3" s="20" t="str">
        <x:v>Sort / tie rule</x:v>
      </x:c>
      <x:c r="H3" s="20" t="str">
        <x:v>Independent check</x:v>
      </x:c>
    </x:row>
    <x:row r="4" ht="54" customHeight="1">
      <x:c r="A4" s="4" t="str">
        <x:v>PIVOT-01</x:v>
      </x:c>
      <x:c r="B4" s="4" t="str">
        <x:v>Scale formula lane: compare audience totals</x:v>
      </x:c>
      <x:c r="C4" s="4" t="str">
        <x:v>startups!A1:AC2001</x:v>
      </x:c>
      <x:c r="D4" s="4" t="str">
        <x:v>audience_type</x:v>
      </x:c>
      <x:c r="E4" s="4" t="str">
        <x:v>record_id → COUNTA; mrr_usd → SUM</x:v>
      </x:c>
      <x:c r="F4" s="4" t="str">
        <x:v>record_id populated; audience_type non-missing; zeros retained</x:v>
      </x:c>
      <x:c r="G4" s="4" t="str">
        <x:v>total MRR descending; audience label ascending</x:v>
      </x:c>
      <x:c r="H4" s="4" t="str">
        <x:v>Compare grouped count + excluded audience rows to populated base</x:v>
      </x:c>
    </x:row>
    <x:row r="5" ht="54" customHeight="1">
      <x:c r="A5" s="4" t="str">
        <x:v>PIVOT-02</x:v>
      </x:c>
      <x:c r="B5" s="4" t="str">
        <x:v>Verify category with largest total MRR</x:v>
      </x:c>
      <x:c r="C5" s="4" t="str">
        <x:v>startups!A1:AC2001</x:v>
      </x:c>
      <x:c r="D5" s="4" t="str">
        <x:v>category</x:v>
      </x:c>
      <x:c r="E5" s="4" t="str">
        <x:v>mrr_usd → SUM</x:v>
      </x:c>
      <x:c r="F5" s="4" t="str">
        <x:v>record_id populated; category trimmed and non-missing; zeros retained</x:v>
      </x:c>
      <x:c r="G5" s="4" t="str">
        <x:v>total MRR descending; canonical label ascending</x:v>
      </x:c>
      <x:c r="H5" s="4" t="str">
        <x:v>Compare against formula output and report absolute gap</x:v>
      </x:c>
    </x:row>
    <x:row r="6" ht="54" customHeight="1">
      <x:c r="A6" s="4" t="str">
        <x:v>PIVOT-03</x:v>
      </x:c>
      <x:c r="B6" s="4" t="str">
        <x:v>Audit country completeness</x:v>
      </x:c>
      <x:c r="C6" s="4" t="str">
        <x:v>startups!A1:AC2001</x:v>
      </x:c>
      <x:c r="D6" s="4" t="str">
        <x:v>country</x:v>
      </x:c>
      <x:c r="E6" s="4" t="str">
        <x:v>record_id → COUNTA</x:v>
      </x:c>
      <x:c r="F6" s="4" t="str">
        <x:v>record_id populated; blank/whitespace is missing</x:v>
      </x:c>
      <x:c r="G6" s="4" t="str">
        <x:v>count descending</x:v>
      </x:c>
      <x:c r="H6" s="4" t="str">
        <x:v>Missing count + present count must equal populated base</x:v>
      </x:c>
    </x:row>
    <x:row r="7" ht="39" customHeight="1">
      <x:c r="A7" s="4"/>
      <x:c r="B7" s="4"/>
      <x:c r="C7" s="4"/>
      <x:c r="D7" s="4"/>
      <x:c r="E7" s="4"/>
      <x:c r="F7" s="4"/>
      <x:c r="G7" s="4"/>
      <x:c r="H7" s="4"/>
    </x:row>
    <x:row r="8" ht="39" customHeight="1">
      <x:c r="A8" s="4"/>
      <x:c r="B8" s="4"/>
      <x:c r="C8" s="4"/>
      <x:c r="D8" s="4"/>
      <x:c r="E8" s="4"/>
      <x:c r="F8" s="4"/>
      <x:c r="G8" s="4"/>
      <x:c r="H8" s="4"/>
    </x:row>
    <x:row r="9" ht="39" customHeight="1">
      <x:c r="A9" s="20" t="str">
        <x:v>Build step</x:v>
      </x:c>
      <x:c r="B9" s="20" t="str">
        <x:v>Evidence to record</x:v>
      </x:c>
      <x:c r="C9" s="4"/>
      <x:c r="D9" s="20" t="str">
        <x:v>Verification log</x:v>
      </x:c>
      <x:c r="E9" s="20" t="str">
        <x:v>Value</x:v>
      </x:c>
      <x:c r="F9" s="20" t="str">
        <x:v>Unit</x:v>
      </x:c>
      <x:c r="G9" s="20" t="str">
        <x:v>Status</x:v>
      </x:c>
      <x:c r="H9" s="20" t="str">
        <x:v>Notes</x:v>
      </x:c>
    </x:row>
    <x:row r="10" ht="39" customHeight="1">
      <x:c r="A10" s="4" t="str">
        <x:v>1 · Bind source</x:v>
      </x:c>
      <x:c r="B10" s="4" t="str">
        <x:v>Dataset version ID, checksum status, source range</x:v>
      </x:c>
      <x:c r="C10" s="4"/>
      <x:c r="D10" s="4" t="str">
        <x:v>Valid row count</x:v>
      </x:c>
      <x:c r="E10" s="21" t="str">
        <x:v>TODO</x:v>
      </x:c>
      <x:c r="F10" s="21" t="str">
        <x:v>records</x:v>
      </x:c>
      <x:c r="G10" s="21" t="str">
        <x:v>TODO</x:v>
      </x:c>
      <x:c r="H10" s="21" t="str"/>
    </x:row>
    <x:row r="11" ht="39" customHeight="1">
      <x:c r="A11" s="4" t="str">
        <x:v>2 · Set grain</x:v>
      </x:c>
      <x:c r="B11" s="4" t="str">
        <x:v>One row = one startup snapshot; record_id anchors real rows</x:v>
      </x:c>
      <x:c r="C11" s="4"/>
      <x:c r="D11" s="4" t="str">
        <x:v>Excluded row count</x:v>
      </x:c>
      <x:c r="E11" s="21" t="str">
        <x:v>TODO</x:v>
      </x:c>
      <x:c r="F11" s="21" t="str">
        <x:v>records</x:v>
      </x:c>
      <x:c r="G11" s="21" t="str">
        <x:v>TODO</x:v>
      </x:c>
      <x:c r="H11" s="21" t="str"/>
    </x:row>
    <x:row r="12" ht="39" customHeight="1">
      <x:c r="A12" s="4" t="str">
        <x:v>3 · Add Rows</x:v>
      </x:c>
      <x:c r="B12" s="4" t="str">
        <x:v>Exact schema field; no silent label merges</x:v>
      </x:c>
      <x:c r="C12" s="4"/>
      <x:c r="D12" s="4" t="str">
        <x:v>Pivot result</x:v>
      </x:c>
      <x:c r="E12" s="21" t="str">
        <x:v>TODO</x:v>
      </x:c>
      <x:c r="F12" s="21" t="str">
        <x:v>declared above</x:v>
      </x:c>
      <x:c r="G12" s="21" t="str">
        <x:v>TODO</x:v>
      </x:c>
      <x:c r="H12" s="21" t="str"/>
    </x:row>
    <x:row r="13" ht="39" customHeight="1">
      <x:c r="A13" s="4" t="str">
        <x:v>4 · Add Values</x:v>
      </x:c>
      <x:c r="B13" s="4" t="str">
        <x:v>Explicit aggregation label: COUNTA, SUM, or approved equivalent</x:v>
      </x:c>
      <x:c r="C13" s="4"/>
      <x:c r="D13" s="4" t="str">
        <x:v>Formula result</x:v>
      </x:c>
      <x:c r="E13" s="21" t="str">
        <x:v>TODO</x:v>
      </x:c>
      <x:c r="F13" s="21" t="str">
        <x:v>same as pivot</x:v>
      </x:c>
      <x:c r="G13" s="21" t="str">
        <x:v>TODO</x:v>
      </x:c>
      <x:c r="H13" s="21" t="str"/>
    </x:row>
    <x:row r="14" ht="39" customHeight="1">
      <x:c r="A14" s="4" t="str">
        <x:v>5 · Filter</x:v>
      </x:c>
      <x:c r="B14" s="4" t="str">
        <x:v>Null/blank/zero rule and excluded-row count</x:v>
      </x:c>
      <x:c r="C14" s="4"/>
      <x:c r="D14" s="4" t="str">
        <x:v>Absolute gap</x:v>
      </x:c>
      <x:c r="E14" s="21" t="str">
        <x:v>TODO</x:v>
      </x:c>
      <x:c r="F14" s="21" t="str">
        <x:v>same unit</x:v>
      </x:c>
      <x:c r="G14" s="21" t="str">
        <x:v>TODO</x:v>
      </x:c>
      <x:c r="H14" s="21" t="str">
        <x:v>Explain or repair before submission</x:v>
      </x:c>
    </x:row>
    <x:row r="15" ht="39" customHeight="1">
      <x:c r="A15" s="4" t="str">
        <x:v>6 · Sort</x:v>
      </x:c>
      <x:c r="B15" s="4" t="str">
        <x:v>Primary sort plus deterministic tie-break</x:v>
      </x:c>
      <x:c r="C15" s="4"/>
      <x:c r="D15" s="4"/>
      <x:c r="E15" s="4"/>
      <x:c r="F15" s="4"/>
      <x:c r="G15" s="4"/>
      <x:c r="H15" s="4"/>
    </x:row>
    <x:row r="16" ht="39" customHeight="1">
      <x:c r="A16" s="4" t="str">
        <x:v>7 · Verify</x:v>
      </x:c>
      <x:c r="B16" s="4" t="str">
        <x:v>Independent method, result, unit, absolute gap, explanation</x:v>
      </x:c>
      <x:c r="C16" s="4"/>
      <x:c r="D16" s="4"/>
      <x:c r="E16" s="4"/>
      <x:c r="F16" s="4"/>
      <x:c r="G16" s="4"/>
      <x:c r="H16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16.110000610351562" hidden="0" customWidth="1"/>
    <x:col min="8" max="8" width="16.110000610351562" hidden="0" customWidth="1"/>
    <x:col min="9" max="9" width="16.110000610351562" hidden="0" customWidth="1"/>
    <x:col min="10" max="10" width="16.110000610351562" hidden="0" customWidth="1"/>
    <x:col min="11" max="11" width="16.110000610351562" hidden="0" customWidth="1"/>
    <x:col min="12" max="12" width="16.110000610351562" hidden="0" customWidth="1"/>
    <x:col min="13" max="13" width="16.110000610351562" hidden="0" customWidth="1"/>
    <x:col min="14" max="14" width="16.110000610351562" hidden="0" customWidth="1"/>
    <x:col min="15" max="15" width="16.110000610351562" hidden="0" customWidth="1"/>
    <x:col min="16" max="16" width="16.110000610351562" hidden="0" customWidth="1"/>
    <x:col min="17" max="17" width="16.110000610351562" hidden="0" customWidth="1"/>
    <x:col min="18" max="18" width="16.110000610351562" hidden="0" customWidth="1"/>
    <x:col min="19" max="19" width="16.110000610351562" hidden="0" customWidth="1"/>
    <x:col min="20" max="20" width="16.110000610351562" hidden="0" customWidth="1"/>
    <x:col min="21" max="21" width="16.110000610351562" hidden="0" customWidth="1"/>
    <x:col min="22" max="22" width="16.110000610351562" hidden="0" customWidth="1"/>
    <x:col min="23" max="23" width="16.110000610351562" hidden="0" customWidth="1"/>
    <x:col min="24" max="24" width="16.110000610351562" hidden="0" customWidth="1"/>
    <x:col min="25" max="25" width="16.110000610351562" hidden="0" customWidth="1"/>
    <x:col min="26" max="26" width="16.110000610351562" hidden="0" customWidth="1"/>
    <x:col min="27" max="27" width="16.110000610351562" hidden="0" customWidth="1"/>
    <x:col min="28" max="28" width="16.110000610351562" hidden="0" customWidth="1"/>
    <x:col min="29" max="29" width="16.110000610351562" hidden="0" customWidth="1"/>
  </x:cols>
  <x:sheetData>
    <x:row r="1" ht="31.5" customHeight="1">
      <x:c r="A1" s="20" t="str">
        <x:v>record_id</x:v>
      </x:c>
      <x:c r="B1" s="20" t="str">
        <x:v>source_row_number</x:v>
      </x:c>
      <x:c r="C1" s="20" t="str">
        <x:v>startup_name</x:v>
      </x:c>
      <x:c r="D1" s="20" t="str">
        <x:v>startup_slug</x:v>
      </x:c>
      <x:c r="E1" s="20" t="str">
        <x:v>trustmrr_url</x:v>
      </x:c>
      <x:c r="F1" s="20" t="str">
        <x:v>website</x:v>
      </x:c>
      <x:c r="G1" s="20" t="str">
        <x:v>country</x:v>
      </x:c>
      <x:c r="H1" s="20" t="str">
        <x:v>payment_provider</x:v>
      </x:c>
      <x:c r="I1" s="20" t="str">
        <x:v>revenue_30d_usd</x:v>
      </x:c>
      <x:c r="J1" s="20" t="str">
        <x:v>revenue_12m_usd</x:v>
      </x:c>
      <x:c r="K1" s="20" t="str">
        <x:v>revenue_all_time_usd</x:v>
      </x:c>
      <x:c r="L1" s="20" t="str">
        <x:v>revenue_growth_30d_pct</x:v>
      </x:c>
      <x:c r="M1" s="20" t="str">
        <x:v>mrr_usd</x:v>
      </x:c>
      <x:c r="N1" s="20" t="str">
        <x:v>mrr_growth_30d_pct</x:v>
      </x:c>
      <x:c r="O1" s="20" t="str">
        <x:v>active_subscriptions</x:v>
      </x:c>
      <x:c r="P1" s="20" t="str">
        <x:v>visitors_30d</x:v>
      </x:c>
      <x:c r="Q1" s="20" t="str">
        <x:v>revenue_per_visitor_usd</x:v>
      </x:c>
      <x:c r="R1" s="20" t="str">
        <x:v>value_proposition</x:v>
      </x:c>
      <x:c r="S1" s="20" t="str">
        <x:v>problem_solved</x:v>
      </x:c>
      <x:c r="T1" s="20" t="str">
        <x:v>pricing_model</x:v>
      </x:c>
      <x:c r="U1" s="20" t="str">
        <x:v>target_persona</x:v>
      </x:c>
      <x:c r="V1" s="20" t="str">
        <x:v>audience_type</x:v>
      </x:c>
      <x:c r="W1" s="20" t="str">
        <x:v>category</x:v>
      </x:c>
      <x:c r="X1" s="20" t="str">
        <x:v>markets_json</x:v>
      </x:c>
      <x:c r="Y1" s="20" t="str">
        <x:v>tech_frontend_json</x:v>
      </x:c>
      <x:c r="Z1" s="20" t="str">
        <x:v>tech_backend_json</x:v>
      </x:c>
      <x:c r="AA1" s="20" t="str">
        <x:v>domain_rating</x:v>
      </x:c>
      <x:c r="AB1" s="20" t="str">
        <x:v>on_sale</x:v>
      </x:c>
      <x:c r="AC1" s="20" t="str">
        <x:v>asking_price_usd</x:v>
      </x:c>
    </x:row>
    <x:row r="2" ht="21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</x:row>
  </x:sheetData>
  <x:pageMargins left="0.7" right="0.7" top="0.75" bottom="0.75" header="0.3" footer="0.3"/>
  <x:tableParts count="1">
    <x:tablePart xmlns:r="http://schemas.openxmlformats.org/officeDocument/2006/relationships" r:id="R2622ebb11f5547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6.670000076293945" hidden="0" customWidth="1"/>
    <x:col min="3" max="3" width="10.5600004196167" hidden="0" customWidth="1"/>
    <x:col min="4" max="4" width="15" hidden="0" customWidth="1"/>
    <x:col min="5" max="5" width="68.88999938964844" hidden="0" customWidth="1"/>
  </x:cols>
  <x:sheetData>
    <x:row r="1" ht="27" customHeight="1">
      <x:c r="A1" s="8" t="str">
        <x:v>Learner CSV schema</x:v>
      </x:c>
      <x:c r="B1" s="8" t="str"/>
      <x:c r="C1" s="8" t="str"/>
      <x:c r="D1" s="8" t="str"/>
      <x:c r="E1" s="8" t="str"/>
    </x:row>
    <x:row r="2">
      <x:c r="A2" s="4"/>
      <x:c r="B2" s="4"/>
      <x:c r="C2" s="4"/>
      <x:c r="D2" s="4"/>
      <x:c r="E2" s="4"/>
    </x:row>
    <x:row r="3" ht="31.5" customHeight="1">
      <x:c r="A3" s="20" t="str">
        <x:v>Field</x:v>
      </x:c>
      <x:c r="B3" s="20" t="str">
        <x:v>Logical type</x:v>
      </x:c>
      <x:c r="C3" s="20" t="str">
        <x:v>Nullable</x:v>
      </x:c>
      <x:c r="D3" s="20" t="str">
        <x:v>Unit</x:v>
      </x:c>
      <x:c r="E3" s="20" t="str">
        <x:v>Description</x:v>
      </x:c>
    </x:row>
    <x:row r="4" ht="31.5" customHeight="1">
      <x:c r="A4" s="32" t="str">
        <x:v>record_id</x:v>
      </x:c>
      <x:c r="B4" s="4" t="str">
        <x:v>string</x:v>
      </x:c>
      <x:c r="C4" s="33" t="str">
        <x:v>No</x:v>
      </x:c>
      <x:c r="D4" s="4" t="str"/>
      <x:c r="E4" s="4" t="str">
        <x:v>Stable teaching-record identifier; primary key.</x:v>
      </x:c>
    </x:row>
    <x:row r="5" ht="31.5" customHeight="1">
      <x:c r="A5" s="32" t="str">
        <x:v>source_row_number</x:v>
      </x:c>
      <x:c r="B5" s="4" t="str">
        <x:v>integer</x:v>
      </x:c>
      <x:c r="C5" s="33" t="str">
        <x:v>No</x:v>
      </x:c>
      <x:c r="D5" s="4" t="str"/>
      <x:c r="E5" s="4" t="str">
        <x:v>One-indexed source Sheet row number retained for lineage.</x:v>
      </x:c>
    </x:row>
    <x:row r="6" ht="31.5" customHeight="1">
      <x:c r="A6" s="32" t="str">
        <x:v>startup_name</x:v>
      </x:c>
      <x:c r="B6" s="4" t="str">
        <x:v>string</x:v>
      </x:c>
      <x:c r="C6" s="33" t="str">
        <x:v>No</x:v>
      </x:c>
      <x:c r="D6" s="4" t="str"/>
      <x:c r="E6" s="4" t="str">
        <x:v>Startup display name.</x:v>
      </x:c>
    </x:row>
    <x:row r="7" ht="31.5" customHeight="1">
      <x:c r="A7" s="32" t="str">
        <x:v>startup_slug</x:v>
      </x:c>
      <x:c r="B7" s="4" t="str">
        <x:v>string</x:v>
      </x:c>
      <x:c r="C7" s="33" t="str">
        <x:v>No</x:v>
      </x:c>
      <x:c r="D7" s="4" t="str"/>
      <x:c r="E7" s="4" t="str">
        <x:v>TrustMRR startup slug.</x:v>
      </x:c>
    </x:row>
    <x:row r="8" ht="31.5" customHeight="1">
      <x:c r="A8" s="32" t="str">
        <x:v>trustmrr_url</x:v>
      </x:c>
      <x:c r="B8" s="4" t="str">
        <x:v>url</x:v>
      </x:c>
      <x:c r="C8" s="33" t="str">
        <x:v>No</x:v>
      </x:c>
      <x:c r="D8" s="4" t="str"/>
      <x:c r="E8" s="4" t="str">
        <x:v>TrustMRR profile URL.</x:v>
      </x:c>
    </x:row>
    <x:row r="9" ht="31.5" customHeight="1">
      <x:c r="A9" s="32" t="str">
        <x:v>website</x:v>
      </x:c>
      <x:c r="B9" s="4" t="str">
        <x:v>url</x:v>
      </x:c>
      <x:c r="C9" s="33" t="str">
        <x:v>Yes</x:v>
      </x:c>
      <x:c r="D9" s="4" t="str"/>
      <x:c r="E9" s="4" t="str">
        <x:v>Startup website when present.</x:v>
      </x:c>
    </x:row>
    <x:row r="10" ht="31.5" customHeight="1">
      <x:c r="A10" s="32" t="str">
        <x:v>country</x:v>
      </x:c>
      <x:c r="B10" s="4" t="str">
        <x:v>string</x:v>
      </x:c>
      <x:c r="C10" s="33" t="str">
        <x:v>Yes</x:v>
      </x:c>
      <x:c r="D10" s="4" t="str"/>
      <x:c r="E10" s="4" t="str">
        <x:v>Two-letter country code as supplied.</x:v>
      </x:c>
    </x:row>
    <x:row r="11" ht="31.5" customHeight="1">
      <x:c r="A11" s="32" t="str">
        <x:v>payment_provider</x:v>
      </x:c>
      <x:c r="B11" s="4" t="str">
        <x:v>string</x:v>
      </x:c>
      <x:c r="C11" s="33" t="str">
        <x:v>No</x:v>
      </x:c>
      <x:c r="D11" s="4" t="str"/>
      <x:c r="E11" s="4" t="str">
        <x:v>Payment provider / verification route label.</x:v>
      </x:c>
    </x:row>
    <x:row r="12" ht="31.5" customHeight="1">
      <x:c r="A12" s="32" t="str">
        <x:v>revenue_30d_usd</x:v>
      </x:c>
      <x:c r="B12" s="4" t="str">
        <x:v>number</x:v>
      </x:c>
      <x:c r="C12" s="33" t="str">
        <x:v>No</x:v>
      </x:c>
      <x:c r="D12" s="4" t="str">
        <x:v>USD</x:v>
      </x:c>
      <x:c r="E12" s="4" t="str">
        <x:v>Revenue over the latest 30-day source window.</x:v>
      </x:c>
    </x:row>
    <x:row r="13" ht="31.5" customHeight="1">
      <x:c r="A13" s="32" t="str">
        <x:v>revenue_12m_usd</x:v>
      </x:c>
      <x:c r="B13" s="4" t="str">
        <x:v>number</x:v>
      </x:c>
      <x:c r="C13" s="33" t="str">
        <x:v>No</x:v>
      </x:c>
      <x:c r="D13" s="4" t="str">
        <x:v>USD</x:v>
      </x:c>
      <x:c r="E13" s="4" t="str">
        <x:v>Revenue over the latest 12-month source window.</x:v>
      </x:c>
    </x:row>
    <x:row r="14" ht="31.5" customHeight="1">
      <x:c r="A14" s="32" t="str">
        <x:v>revenue_all_time_usd</x:v>
      </x:c>
      <x:c r="B14" s="4" t="str">
        <x:v>number</x:v>
      </x:c>
      <x:c r="C14" s="33" t="str">
        <x:v>No</x:v>
      </x:c>
      <x:c r="D14" s="4" t="str">
        <x:v>USD</x:v>
      </x:c>
      <x:c r="E14" s="4" t="str">
        <x:v>All-time revenue reported by the source.</x:v>
      </x:c>
    </x:row>
    <x:row r="15" ht="31.5" customHeight="1">
      <x:c r="A15" s="32" t="str">
        <x:v>revenue_growth_30d_pct</x:v>
      </x:c>
      <x:c r="B15" s="4" t="str">
        <x:v>number</x:v>
      </x:c>
      <x:c r="C15" s="33" t="str">
        <x:v>Yes</x:v>
      </x:c>
      <x:c r="D15" s="4" t="str">
        <x:v>percent</x:v>
      </x:c>
      <x:c r="E15" s="4" t="str">
        <x:v>Thirty-day revenue growth rate; percentage points, not a decimal fraction.</x:v>
      </x:c>
    </x:row>
    <x:row r="16" ht="31.5" customHeight="1">
      <x:c r="A16" s="32" t="str">
        <x:v>mrr_usd</x:v>
      </x:c>
      <x:c r="B16" s="4" t="str">
        <x:v>number</x:v>
      </x:c>
      <x:c r="C16" s="33" t="str">
        <x:v>No</x:v>
      </x:c>
      <x:c r="D16" s="4" t="str">
        <x:v>USD/month</x:v>
      </x:c>
      <x:c r="E16" s="4" t="str">
        <x:v>Monthly recurring revenue reported by the source.</x:v>
      </x:c>
    </x:row>
    <x:row r="17" ht="31.5" customHeight="1">
      <x:c r="A17" s="32" t="str">
        <x:v>mrr_growth_30d_pct</x:v>
      </x:c>
      <x:c r="B17" s="4" t="str">
        <x:v>number</x:v>
      </x:c>
      <x:c r="C17" s="33" t="str">
        <x:v>Yes</x:v>
      </x:c>
      <x:c r="D17" s="4" t="str">
        <x:v>percent</x:v>
      </x:c>
      <x:c r="E17" s="4" t="str">
        <x:v>Thirty-day MRR growth rate; percentage points.</x:v>
      </x:c>
    </x:row>
    <x:row r="18" ht="31.5" customHeight="1">
      <x:c r="A18" s="32" t="str">
        <x:v>active_subscriptions</x:v>
      </x:c>
      <x:c r="B18" s="4" t="str">
        <x:v>integer</x:v>
      </x:c>
      <x:c r="C18" s="33" t="str">
        <x:v>No</x:v>
      </x:c>
      <x:c r="D18" s="4" t="str">
        <x:v>subscriptions</x:v>
      </x:c>
      <x:c r="E18" s="4" t="str">
        <x:v>Active subscription count.</x:v>
      </x:c>
    </x:row>
    <x:row r="19" ht="31.5" customHeight="1">
      <x:c r="A19" s="32" t="str">
        <x:v>visitors_30d</x:v>
      </x:c>
      <x:c r="B19" s="4" t="str">
        <x:v>number</x:v>
      </x:c>
      <x:c r="C19" s="33" t="str">
        <x:v>Yes</x:v>
      </x:c>
      <x:c r="D19" s="4" t="str">
        <x:v>visitors</x:v>
      </x:c>
      <x:c r="E19" s="4" t="str">
        <x:v>Visitors in the latest 30-day source window. Blank means unavailable; zero is observed zero.</x:v>
      </x:c>
    </x:row>
    <x:row r="20" ht="31.5" customHeight="1">
      <x:c r="A20" s="32" t="str">
        <x:v>revenue_per_visitor_usd</x:v>
      </x:c>
      <x:c r="B20" s="4" t="str">
        <x:v>number</x:v>
      </x:c>
      <x:c r="C20" s="33" t="str">
        <x:v>Yes</x:v>
      </x:c>
      <x:c r="D20" s="4" t="str">
        <x:v>USD/visitor</x:v>
      </x:c>
      <x:c r="E20" s="4" t="str">
        <x:v>Source-provided revenue per visitor. Blank and zero are distinct.</x:v>
      </x:c>
    </x:row>
    <x:row r="21" ht="31.5" customHeight="1">
      <x:c r="A21" s="32" t="str">
        <x:v>value_proposition</x:v>
      </x:c>
      <x:c r="B21" s="4" t="str">
        <x:v>string</x:v>
      </x:c>
      <x:c r="C21" s="33" t="str">
        <x:v>Yes</x:v>
      </x:c>
      <x:c r="D21" s="4" t="str"/>
      <x:c r="E21" s="4" t="str">
        <x:v>Product value-proposition text.</x:v>
      </x:c>
    </x:row>
    <x:row r="22" ht="31.5" customHeight="1">
      <x:c r="A22" s="32" t="str">
        <x:v>problem_solved</x:v>
      </x:c>
      <x:c r="B22" s="4" t="str">
        <x:v>string</x:v>
      </x:c>
      <x:c r="C22" s="33" t="str">
        <x:v>Yes</x:v>
      </x:c>
      <x:c r="D22" s="4" t="str"/>
      <x:c r="E22" s="4" t="str">
        <x:v>Problem statement text.</x:v>
      </x:c>
    </x:row>
    <x:row r="23" ht="31.5" customHeight="1">
      <x:c r="A23" s="32" t="str">
        <x:v>pricing_model</x:v>
      </x:c>
      <x:c r="B23" s="4" t="str">
        <x:v>string</x:v>
      </x:c>
      <x:c r="C23" s="33" t="str">
        <x:v>Yes</x:v>
      </x:c>
      <x:c r="D23" s="4" t="str"/>
      <x:c r="E23" s="4" t="str">
        <x:v>Pricing description supplied by the source.</x:v>
      </x:c>
    </x:row>
    <x:row r="24" ht="31.5" customHeight="1">
      <x:c r="A24" s="32" t="str">
        <x:v>target_persona</x:v>
      </x:c>
      <x:c r="B24" s="4" t="str">
        <x:v>string</x:v>
      </x:c>
      <x:c r="C24" s="33" t="str">
        <x:v>Yes</x:v>
      </x:c>
      <x:c r="D24" s="4" t="str"/>
      <x:c r="E24" s="4" t="str">
        <x:v>Primary target-user description.</x:v>
      </x:c>
    </x:row>
    <x:row r="25" ht="31.5" customHeight="1">
      <x:c r="A25" s="32" t="str">
        <x:v>audience_type</x:v>
      </x:c>
      <x:c r="B25" s="4" t="str">
        <x:v>string</x:v>
      </x:c>
      <x:c r="C25" s="33" t="str">
        <x:v>Yes</x:v>
      </x:c>
      <x:c r="D25" s="4" t="str"/>
      <x:c r="E25" s="4" t="str">
        <x:v>Broad audience type, such as B2B or B2C.</x:v>
      </x:c>
    </x:row>
    <x:row r="26" ht="31.5" customHeight="1">
      <x:c r="A26" s="32" t="str">
        <x:v>category</x:v>
      </x:c>
      <x:c r="B26" s="4" t="str">
        <x:v>string</x:v>
      </x:c>
      <x:c r="C26" s="33" t="str">
        <x:v>Yes</x:v>
      </x:c>
      <x:c r="D26" s="4" t="str"/>
      <x:c r="E26" s="4" t="str">
        <x:v>Primary product category.</x:v>
      </x:c>
    </x:row>
    <x:row r="27" ht="31.5" customHeight="1">
      <x:c r="A27" s="32" t="str">
        <x:v>markets_json</x:v>
      </x:c>
      <x:c r="B27" s="4" t="str">
        <x:v>json_array_string</x:v>
      </x:c>
      <x:c r="C27" s="33" t="str">
        <x:v>No</x:v>
      </x:c>
      <x:c r="D27" s="4" t="str"/>
      <x:c r="E27" s="4" t="str">
        <x:v>JSON-encoded array of market/category tags.</x:v>
      </x:c>
    </x:row>
    <x:row r="28" ht="31.5" customHeight="1">
      <x:c r="A28" s="32" t="str">
        <x:v>tech_frontend_json</x:v>
      </x:c>
      <x:c r="B28" s="4" t="str">
        <x:v>json_array_string</x:v>
      </x:c>
      <x:c r="C28" s="33" t="str">
        <x:v>No</x:v>
      </x:c>
      <x:c r="D28" s="4" t="str"/>
      <x:c r="E28" s="4" t="str">
        <x:v>JSON-encoded array of frontend technologies.</x:v>
      </x:c>
    </x:row>
    <x:row r="29" ht="31.5" customHeight="1">
      <x:c r="A29" s="32" t="str">
        <x:v>tech_backend_json</x:v>
      </x:c>
      <x:c r="B29" s="4" t="str">
        <x:v>json_array_string</x:v>
      </x:c>
      <x:c r="C29" s="33" t="str">
        <x:v>No</x:v>
      </x:c>
      <x:c r="D29" s="4" t="str"/>
      <x:c r="E29" s="4" t="str">
        <x:v>JSON-encoded array of backend technologies.</x:v>
      </x:c>
    </x:row>
    <x:row r="30" ht="31.5" customHeight="1">
      <x:c r="A30" s="32" t="str">
        <x:v>domain_rating</x:v>
      </x:c>
      <x:c r="B30" s="4" t="str">
        <x:v>number</x:v>
      </x:c>
      <x:c r="C30" s="33" t="str">
        <x:v>Yes</x:v>
      </x:c>
      <x:c r="D30" s="4" t="str"/>
      <x:c r="E30" s="4" t="str">
        <x:v>Source-provided domain rating.</x:v>
      </x:c>
    </x:row>
    <x:row r="31" ht="31.5" customHeight="1">
      <x:c r="A31" s="32" t="str">
        <x:v>on_sale</x:v>
      </x:c>
      <x:c r="B31" s="4" t="str">
        <x:v>boolean_string</x:v>
      </x:c>
      <x:c r="C31" s="33" t="str">
        <x:v>No</x:v>
      </x:c>
      <x:c r="D31" s="4" t="str"/>
      <x:c r="E31" s="4" t="str">
        <x:v>Lowercase true/false sale-listing flag.</x:v>
      </x:c>
    </x:row>
    <x:row r="32" ht="31.5" customHeight="1">
      <x:c r="A32" s="32" t="str">
        <x:v>asking_price_usd</x:v>
      </x:c>
      <x:c r="B32" s="4" t="str">
        <x:v>number</x:v>
      </x:c>
      <x:c r="C32" s="33" t="str">
        <x:v>Yes</x:v>
      </x:c>
      <x:c r="D32" s="4" t="str">
        <x:v>USD</x:v>
      </x:c>
      <x:c r="E32" s="4" t="str">
        <x:v>Asking price when a sale listing supplies one.</x:v>
      </x:c>
    </x:row>
  </x:sheetData>
  <x:pageMargins left="0.7" right="0.7" top="0.75" bottom="0.75" header="0.3" footer="0.3"/>
  <x:tableParts count="1">
    <x:tablePart xmlns:r="http://schemas.openxmlformats.org/officeDocument/2006/relationships" r:id="Rb8192ca5d9f4487d"/>
  </x:tableParts>
</x:worksheet>
</file>